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85"/>
  </bookViews>
  <sheets>
    <sheet name="Nhân sự" sheetId="1" r:id="rId1"/>
    <sheet name="Dự án" sheetId="2" r:id="rId2"/>
  </sheets>
  <definedNames>
    <definedName name="_xlnm._FilterDatabase" localSheetId="0" hidden="1">'Nhân sự'!$A$1:$H$59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<sst xmlns="http://schemas.openxmlformats.org/spreadsheetml/2006/main" count="539" uniqueCount="208">
  <si>
    <t>ID</t>
  </si>
  <si>
    <t>Họ và tên</t>
  </si>
  <si>
    <t>Chức vụ</t>
  </si>
  <si>
    <t>Phòng ban</t>
  </si>
  <si>
    <t>Email</t>
  </si>
  <si>
    <t>Số điện thoại</t>
  </si>
  <si>
    <t>ID quản lý</t>
  </si>
  <si>
    <t>Ngày vào làm</t>
  </si>
  <si>
    <t>NV001</t>
  </si>
  <si>
    <t>Ngô Quang Tuấn</t>
  </si>
  <si>
    <t>PB5</t>
  </si>
  <si>
    <t>SW2</t>
  </si>
  <si>
    <t>TUANNQ3@fpt.com</t>
  </si>
  <si>
    <t/>
  </si>
  <si>
    <t>NV002</t>
  </si>
  <si>
    <t>Nguyễn Văn Dí</t>
  </si>
  <si>
    <t>Phó phòng</t>
  </si>
  <si>
    <t>DINV@fpt.com</t>
  </si>
  <si>
    <t>NV003</t>
  </si>
  <si>
    <t>Nguyễn Cảnh Anh</t>
  </si>
  <si>
    <t>PM</t>
  </si>
  <si>
    <t>ANHNC10@fpt.com</t>
  </si>
  <si>
    <t>NV004</t>
  </si>
  <si>
    <t>Lưu Ngọc Mai</t>
  </si>
  <si>
    <t>QC Lead</t>
  </si>
  <si>
    <t>MAILN12@fpt.com</t>
  </si>
  <si>
    <t>NV005</t>
  </si>
  <si>
    <t>Nguyễn Thanh Tú</t>
  </si>
  <si>
    <t>Dev</t>
  </si>
  <si>
    <t>TUNT68@fpt.com</t>
  </si>
  <si>
    <t>NV009</t>
  </si>
  <si>
    <t>NV006</t>
  </si>
  <si>
    <t>Lý Thị Hồng Đào</t>
  </si>
  <si>
    <t>BA</t>
  </si>
  <si>
    <t>DAOLTH7@fpt.com</t>
  </si>
  <si>
    <t>NV007</t>
  </si>
  <si>
    <t>Bùi Phan Viết Cường</t>
  </si>
  <si>
    <t>Tech Lead</t>
  </si>
  <si>
    <t>CUONGBPV@fpt.com</t>
  </si>
  <si>
    <t>NV008</t>
  </si>
  <si>
    <t>Vương Trọng Khang</t>
  </si>
  <si>
    <t>KHANGVT5@fpt.com</t>
  </si>
  <si>
    <t>Nguyễn Hồng Thắng</t>
  </si>
  <si>
    <t>Dev Lead</t>
  </si>
  <si>
    <t>THANGNH29@fpt.com</t>
  </si>
  <si>
    <t>NV010</t>
  </si>
  <si>
    <t>Hồ Nhật Duy</t>
  </si>
  <si>
    <t>DUYHN4@fpt.com</t>
  </si>
  <si>
    <t>NV011</t>
  </si>
  <si>
    <t>Lê Hồng Phong</t>
  </si>
  <si>
    <t>PHONGLH27@fpt.com</t>
  </si>
  <si>
    <t>NV012</t>
  </si>
  <si>
    <t>Trần Thanh Hiền</t>
  </si>
  <si>
    <t>HIENTT109@fpt.com</t>
  </si>
  <si>
    <t>NV013</t>
  </si>
  <si>
    <t>Vũ Minh Hiếu</t>
  </si>
  <si>
    <t>HIEUVM26@fpt.com</t>
  </si>
  <si>
    <t>NV014</t>
  </si>
  <si>
    <t>Bùi Xuân Vĩ</t>
  </si>
  <si>
    <t>VIBX@fpt.com</t>
  </si>
  <si>
    <t>NV015</t>
  </si>
  <si>
    <t>Nguyễn Phương Bảo Ngân</t>
  </si>
  <si>
    <t>Tester</t>
  </si>
  <si>
    <t>CTV</t>
  </si>
  <si>
    <t>NGANNPB@fpt.com</t>
  </si>
  <si>
    <t>NV016</t>
  </si>
  <si>
    <t>Bùi Thị Phương Thảo</t>
  </si>
  <si>
    <t>THAOBTP11@fpt.com</t>
  </si>
  <si>
    <t>NV017</t>
  </si>
  <si>
    <t>Phạm Thị Ka Ly</t>
  </si>
  <si>
    <t>BA Lead</t>
  </si>
  <si>
    <t>LYPTK4@fpt.com</t>
  </si>
  <si>
    <t>NV018</t>
  </si>
  <si>
    <t>Lê Bảo Châu</t>
  </si>
  <si>
    <t>CHAULB2@fpt.com</t>
  </si>
  <si>
    <t>NV019</t>
  </si>
  <si>
    <t>Nguyễn Thanh Lan</t>
  </si>
  <si>
    <t>LANNT52@fpt.com</t>
  </si>
  <si>
    <t>NV020</t>
  </si>
  <si>
    <t>Bùi Phan Bảo Ngọc</t>
  </si>
  <si>
    <t>NGOCBPB@fpt.com</t>
  </si>
  <si>
    <t>NV021</t>
  </si>
  <si>
    <t>Nguyễn Quốc Thái</t>
  </si>
  <si>
    <t>THAINQ20@fpt.com</t>
  </si>
  <si>
    <t>NV022</t>
  </si>
  <si>
    <t>Đặng Nhựt Hào</t>
  </si>
  <si>
    <t>HAODN@fpt.com</t>
  </si>
  <si>
    <t>NV023</t>
  </si>
  <si>
    <t>Võ Tuấn Nhật</t>
  </si>
  <si>
    <t>NHATVT2@fpt.com</t>
  </si>
  <si>
    <t>NV024</t>
  </si>
  <si>
    <t>Huỳnh Phạm Duy Tân</t>
  </si>
  <si>
    <t>TANHPD@fpt.com</t>
  </si>
  <si>
    <t>NV025</t>
  </si>
  <si>
    <t>Nguyễn Thị Diễm Quyên</t>
  </si>
  <si>
    <t>QUYENNTD3@fpt.com</t>
  </si>
  <si>
    <t>NV026</t>
  </si>
  <si>
    <t>Hoàng Lê Phương Anh</t>
  </si>
  <si>
    <t>ANHHLP@fpt.com</t>
  </si>
  <si>
    <t>NV027</t>
  </si>
  <si>
    <t>Trần Văn Hậu</t>
  </si>
  <si>
    <t>HAUTV7@fpt.com</t>
  </si>
  <si>
    <t>NV028</t>
  </si>
  <si>
    <t>Nguyễn Đức Đoàn Quân</t>
  </si>
  <si>
    <t>QUANNDD@fpt.com</t>
  </si>
  <si>
    <t>NV029</t>
  </si>
  <si>
    <t>Ngô Tấn Lộc</t>
  </si>
  <si>
    <t>LOCNT45@fpt.com</t>
  </si>
  <si>
    <t>NV030</t>
  </si>
  <si>
    <t>Nguyễn Huỳnh Đông Triều</t>
  </si>
  <si>
    <t>TRIEUNHD@fpt.com</t>
  </si>
  <si>
    <t>NV031</t>
  </si>
  <si>
    <t>Lý Hồ Tuấn Linh</t>
  </si>
  <si>
    <t>LINHLHT3@fpt.com</t>
  </si>
  <si>
    <t>NV032</t>
  </si>
  <si>
    <t>Phan Hồng Thái</t>
  </si>
  <si>
    <t>THAIPH11@fpt.com</t>
  </si>
  <si>
    <t>NV033</t>
  </si>
  <si>
    <t>Lưu Thảo Vy</t>
  </si>
  <si>
    <t>VYLT20@fpt.com</t>
  </si>
  <si>
    <t>NV034</t>
  </si>
  <si>
    <t>Trần Cẩm Tuyến</t>
  </si>
  <si>
    <t>TUYENTC@fpt.com</t>
  </si>
  <si>
    <t>NV035</t>
  </si>
  <si>
    <t>Nguyễn Thị Thu Thảo</t>
  </si>
  <si>
    <t>THAONTT76@fpt.com</t>
  </si>
  <si>
    <t>NV036</t>
  </si>
  <si>
    <t>Nguyễn Anh Nguyên</t>
  </si>
  <si>
    <t>NGUYENNA12@fpt.com</t>
  </si>
  <si>
    <t>NV037</t>
  </si>
  <si>
    <t>Lê Minh Bảo</t>
  </si>
  <si>
    <t>BAOLM2@fpt.com</t>
  </si>
  <si>
    <t>NV038</t>
  </si>
  <si>
    <t>Lâm Minh Trung</t>
  </si>
  <si>
    <t>TRUNGLM7@fpt.com</t>
  </si>
  <si>
    <t>NV039</t>
  </si>
  <si>
    <t>Nguyễn Công Hiền</t>
  </si>
  <si>
    <t>HIENNC2@fpt.com</t>
  </si>
  <si>
    <t>NV040</t>
  </si>
  <si>
    <t>Huỳnh Thị Hiền</t>
  </si>
  <si>
    <t>HIENHT41@fpt.com</t>
  </si>
  <si>
    <t>NV041</t>
  </si>
  <si>
    <t>Phạm Thị Thúy Ngọc</t>
  </si>
  <si>
    <t>NGOCPTT13@fpt.com</t>
  </si>
  <si>
    <t>NV042</t>
  </si>
  <si>
    <t>Hồ Minh Tý</t>
  </si>
  <si>
    <t>TYHM@fpt.com</t>
  </si>
  <si>
    <t>NV043</t>
  </si>
  <si>
    <t>Nguyễn Trung Tín</t>
  </si>
  <si>
    <t>TINNT27@fpt.com</t>
  </si>
  <si>
    <t>NV044</t>
  </si>
  <si>
    <t>Phan Giang Bảo Ngọc</t>
  </si>
  <si>
    <t>NGOCPGB@fpt.com</t>
  </si>
  <si>
    <t>NV045</t>
  </si>
  <si>
    <t>Đào Thị Mạnh Tiền</t>
  </si>
  <si>
    <t>TIENDTM4@fpt.com</t>
  </si>
  <si>
    <t>NV046</t>
  </si>
  <si>
    <t>Lê Thị Mỹ Duyên</t>
  </si>
  <si>
    <t>DUYENLTM37@fpt.com</t>
  </si>
  <si>
    <t>NV047</t>
  </si>
  <si>
    <t>Trần Bảo Ngọc</t>
  </si>
  <si>
    <t>NGOCTB32@fpt.com</t>
  </si>
  <si>
    <t>NV048</t>
  </si>
  <si>
    <t>Nguyễn Huỳnh Phi Nhi</t>
  </si>
  <si>
    <t>NHINHP@fpt.com</t>
  </si>
  <si>
    <t>NV049</t>
  </si>
  <si>
    <t>Hoàng Ngân Hà</t>
  </si>
  <si>
    <t>HAHN11@fpt.com</t>
  </si>
  <si>
    <t>NV050</t>
  </si>
  <si>
    <t>Lương Ngọc Phương Uyên</t>
  </si>
  <si>
    <t>UYENLNP9@fpt.com</t>
  </si>
  <si>
    <t>NV051</t>
  </si>
  <si>
    <t>Nguyễn Tấn Nhựt</t>
  </si>
  <si>
    <t>NHUTNT7@fpt.com</t>
  </si>
  <si>
    <t>NV052</t>
  </si>
  <si>
    <t>Cai Nhất Thanh</t>
  </si>
  <si>
    <t>THANHCN3@fpt.com</t>
  </si>
  <si>
    <t>NV053</t>
  </si>
  <si>
    <t>Phan Hoài Phong</t>
  </si>
  <si>
    <t>PHONGPH9@fpt.com</t>
  </si>
  <si>
    <t>NV054</t>
  </si>
  <si>
    <t>Nguyễn Thanh Danh</t>
  </si>
  <si>
    <t>DANHNT43@fpt.com</t>
  </si>
  <si>
    <t>NV055</t>
  </si>
  <si>
    <t>Trần Ngọc Thanh Ngân</t>
  </si>
  <si>
    <t>NGANTNT4@fpt.com</t>
  </si>
  <si>
    <t>NV056</t>
  </si>
  <si>
    <t>Nguyễn Tuấn Kiệt</t>
  </si>
  <si>
    <t>KIETNT52@fpt.com</t>
  </si>
  <si>
    <t>NV057</t>
  </si>
  <si>
    <t>Trần Thị Phương</t>
  </si>
  <si>
    <t>PHUONGTT94@fpt.com</t>
  </si>
  <si>
    <t>NV058</t>
  </si>
  <si>
    <t>Nguyễn Thế Phương</t>
  </si>
  <si>
    <t>PHUONGNT204@fpt.com</t>
  </si>
  <si>
    <t>ID nhân viên</t>
  </si>
  <si>
    <t>Tên dự án</t>
  </si>
  <si>
    <t>Vai trò</t>
  </si>
  <si>
    <t>Ngày bắt đầu</t>
  </si>
  <si>
    <t>Ngày kết thúc</t>
  </si>
  <si>
    <t>Trạng thái</t>
  </si>
  <si>
    <t>Eximbank</t>
  </si>
  <si>
    <t>active</t>
  </si>
  <si>
    <t>ACB NWF</t>
  </si>
  <si>
    <t>Đi HD Biz</t>
  </si>
  <si>
    <t>PRU</t>
  </si>
  <si>
    <t>HD Bank</t>
  </si>
  <si>
    <t>HN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</si>
</sst>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tabSelected="1" workbookViewId="0">
      <selection activeCell="I19" sqref="I19"/>
    </sheetView>
  </sheetViews>
  <sheetFormatPr defaultColWidth="9" defaultRowHeight="15.75" outlineLevelCol="7"/>
  <cols>
    <col min="1" max="1" width="10.8" customWidth="1"/>
    <col min="2" max="2" width="23.4" customWidth="1"/>
    <col min="3" max="4" width="20.8" customWidth="1"/>
    <col min="5" max="5" width="25.8" customWidth="1"/>
    <col min="6" max="6" width="15.8" customWidth="1"/>
    <col min="7" max="7" width="10.8" customWidth="1"/>
    <col min="8" max="8" width="15.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7">
      <c r="A2" t="s">
        <v>8</v>
      </c>
      <c r="B2" t="s">
        <v>9</v>
      </c>
      <c r="C2" t="s">
        <v>10</v>
      </c>
      <c r="D2" t="s">
        <v>11</v>
      </c>
      <c r="E2" s="1" t="s">
        <v>12</v>
      </c>
      <c r="G2" t="s">
        <v>13</v>
      </c>
    </row>
    <row r="3" spans="1:7">
      <c r="A3" t="s">
        <v>14</v>
      </c>
      <c r="B3" t="s">
        <v>15</v>
      </c>
      <c r="C3" t="s">
        <v>16</v>
      </c>
      <c r="D3" t="s">
        <v>11</v>
      </c>
      <c r="E3" s="1" t="s">
        <v>17</v>
      </c>
      <c r="G3" t="s">
        <v>8</v>
      </c>
    </row>
    <row r="4" spans="1:7">
      <c r="A4" t="s">
        <v>18</v>
      </c>
      <c r="B4" t="s">
        <v>19</v>
      </c>
      <c r="C4" t="s">
        <v>20</v>
      </c>
      <c r="D4" t="s">
        <v>11</v>
      </c>
      <c r="E4" s="1" t="s">
        <v>21</v>
      </c>
      <c r="G4" t="s">
        <v>14</v>
      </c>
    </row>
    <row r="5" spans="1:7">
      <c r="A5" t="s">
        <v>22</v>
      </c>
      <c r="B5" t="s">
        <v>23</v>
      </c>
      <c r="C5" t="s">
        <v>24</v>
      </c>
      <c r="D5" t="s">
        <v>11</v>
      </c>
      <c r="E5" s="1" t="s">
        <v>25</v>
      </c>
      <c r="G5" t="s">
        <v>18</v>
      </c>
    </row>
    <row r="6" spans="1:7">
      <c r="A6" t="s">
        <v>26</v>
      </c>
      <c r="B6" t="s">
        <v>27</v>
      </c>
      <c r="C6" t="s">
        <v>28</v>
      </c>
      <c r="D6" t="s">
        <v>11</v>
      </c>
      <c r="E6" s="1" t="s">
        <v>29</v>
      </c>
      <c r="G6" t="s">
        <v>30</v>
      </c>
    </row>
    <row r="7" spans="1:7">
      <c r="A7" t="s">
        <v>31</v>
      </c>
      <c r="B7" t="s">
        <v>32</v>
      </c>
      <c r="C7" t="s">
        <v>33</v>
      </c>
      <c r="D7" t="s">
        <v>11</v>
      </c>
      <c r="E7" s="1" t="s">
        <v>34</v>
      </c>
      <c r="G7" t="s">
        <v>18</v>
      </c>
    </row>
    <row r="8" spans="1:7">
      <c r="A8" t="s">
        <v>35</v>
      </c>
      <c r="B8" t="s">
        <v>36</v>
      </c>
      <c r="C8" t="s">
        <v>37</v>
      </c>
      <c r="D8" t="s">
        <v>11</v>
      </c>
      <c r="E8" s="1" t="s">
        <v>38</v>
      </c>
      <c r="G8" t="s">
        <v>14</v>
      </c>
    </row>
    <row r="9" spans="1:7">
      <c r="A9" t="s">
        <v>39</v>
      </c>
      <c r="B9" t="s">
        <v>40</v>
      </c>
      <c r="C9" t="s">
        <v>28</v>
      </c>
      <c r="D9" t="s">
        <v>11</v>
      </c>
      <c r="E9" s="1" t="s">
        <v>41</v>
      </c>
      <c r="G9" t="s">
        <v>14</v>
      </c>
    </row>
    <row r="10" spans="1:7">
      <c r="A10" t="s">
        <v>30</v>
      </c>
      <c r="B10" t="s">
        <v>42</v>
      </c>
      <c r="C10" t="s">
        <v>43</v>
      </c>
      <c r="D10" t="s">
        <v>11</v>
      </c>
      <c r="E10" s="1" t="s">
        <v>44</v>
      </c>
      <c r="G10" t="s">
        <v>14</v>
      </c>
    </row>
    <row r="11" spans="1:7">
      <c r="A11" t="s">
        <v>45</v>
      </c>
      <c r="B11" t="s">
        <v>46</v>
      </c>
      <c r="C11" t="s">
        <v>43</v>
      </c>
      <c r="D11" t="s">
        <v>11</v>
      </c>
      <c r="E11" s="1" t="s">
        <v>47</v>
      </c>
      <c r="G11" t="s">
        <v>14</v>
      </c>
    </row>
    <row r="12" spans="1:7">
      <c r="A12" t="s">
        <v>48</v>
      </c>
      <c r="B12" t="s">
        <v>49</v>
      </c>
      <c r="C12" t="s">
        <v>28</v>
      </c>
      <c r="D12" t="s">
        <v>11</v>
      </c>
      <c r="E12" s="1" t="s">
        <v>50</v>
      </c>
      <c r="G12" t="s">
        <v>30</v>
      </c>
    </row>
    <row r="13" spans="1:7">
      <c r="A13" t="s">
        <v>51</v>
      </c>
      <c r="B13" t="s">
        <v>52</v>
      </c>
      <c r="C13" t="s">
        <v>28</v>
      </c>
      <c r="D13" t="s">
        <v>11</v>
      </c>
      <c r="E13" s="1" t="s">
        <v>53</v>
      </c>
      <c r="G13" t="s">
        <v>45</v>
      </c>
    </row>
    <row r="14" spans="1:7">
      <c r="A14" t="s">
        <v>54</v>
      </c>
      <c r="B14" t="s">
        <v>55</v>
      </c>
      <c r="C14" t="s">
        <v>28</v>
      </c>
      <c r="D14" t="s">
        <v>11</v>
      </c>
      <c r="E14" s="1" t="s">
        <v>56</v>
      </c>
      <c r="G14" t="s">
        <v>35</v>
      </c>
    </row>
    <row r="15" spans="1:7">
      <c r="A15" t="s">
        <v>57</v>
      </c>
      <c r="B15" t="s">
        <v>58</v>
      </c>
      <c r="C15" t="s">
        <v>33</v>
      </c>
      <c r="D15" t="s">
        <v>11</v>
      </c>
      <c r="E15" s="1" t="s">
        <v>59</v>
      </c>
      <c r="G15" t="s">
        <v>18</v>
      </c>
    </row>
    <row r="16" spans="1:7">
      <c r="A16" t="s">
        <v>60</v>
      </c>
      <c r="B16" t="s">
        <v>61</v>
      </c>
      <c r="C16" t="s">
        <v>62</v>
      </c>
      <c r="D16" t="s">
        <v>63</v>
      </c>
      <c r="E16" s="1" t="s">
        <v>64</v>
      </c>
      <c r="G16" t="s">
        <v>18</v>
      </c>
    </row>
    <row r="17" spans="1:7">
      <c r="A17" t="s">
        <v>65</v>
      </c>
      <c r="B17" t="s">
        <v>66</v>
      </c>
      <c r="C17" t="s">
        <v>62</v>
      </c>
      <c r="D17" t="s">
        <v>63</v>
      </c>
      <c r="E17" s="1" t="s">
        <v>67</v>
      </c>
      <c r="G17" t="s">
        <v>18</v>
      </c>
    </row>
    <row r="18" spans="1:7">
      <c r="A18" t="s">
        <v>68</v>
      </c>
      <c r="B18" t="s">
        <v>69</v>
      </c>
      <c r="C18" t="s">
        <v>70</v>
      </c>
      <c r="D18" t="s">
        <v>63</v>
      </c>
      <c r="E18" s="1" t="s">
        <v>71</v>
      </c>
      <c r="G18" t="s">
        <v>14</v>
      </c>
    </row>
    <row r="19" spans="1:7">
      <c r="A19" t="s">
        <v>72</v>
      </c>
      <c r="B19" t="s">
        <v>73</v>
      </c>
      <c r="C19" t="s">
        <v>33</v>
      </c>
      <c r="D19" t="s">
        <v>63</v>
      </c>
      <c r="E19" s="1" t="s">
        <v>74</v>
      </c>
      <c r="G19" t="s">
        <v>18</v>
      </c>
    </row>
    <row r="20" spans="1:7">
      <c r="A20" t="s">
        <v>75</v>
      </c>
      <c r="B20" t="s">
        <v>76</v>
      </c>
      <c r="C20" t="s">
        <v>33</v>
      </c>
      <c r="D20" t="s">
        <v>63</v>
      </c>
      <c r="E20" s="1" t="s">
        <v>77</v>
      </c>
      <c r="G20" t="s">
        <v>18</v>
      </c>
    </row>
    <row r="21" spans="1:7">
      <c r="A21" t="s">
        <v>78</v>
      </c>
      <c r="B21" t="s">
        <v>79</v>
      </c>
      <c r="C21" t="s">
        <v>28</v>
      </c>
      <c r="D21" t="s">
        <v>63</v>
      </c>
      <c r="E21" s="1" t="s">
        <v>80</v>
      </c>
      <c r="G21" t="s">
        <v>35</v>
      </c>
    </row>
    <row r="22" spans="1:7">
      <c r="A22" t="s">
        <v>81</v>
      </c>
      <c r="B22" t="s">
        <v>82</v>
      </c>
      <c r="C22" t="s">
        <v>62</v>
      </c>
      <c r="D22" t="s">
        <v>63</v>
      </c>
      <c r="E22" s="1" t="s">
        <v>83</v>
      </c>
      <c r="G22" t="s">
        <v>18</v>
      </c>
    </row>
    <row r="23" spans="1:7">
      <c r="A23" t="s">
        <v>84</v>
      </c>
      <c r="B23" t="s">
        <v>85</v>
      </c>
      <c r="C23" t="s">
        <v>28</v>
      </c>
      <c r="D23" t="s">
        <v>63</v>
      </c>
      <c r="E23" s="1" t="s">
        <v>86</v>
      </c>
      <c r="G23" t="s">
        <v>35</v>
      </c>
    </row>
    <row r="24" spans="1:7">
      <c r="A24" t="s">
        <v>87</v>
      </c>
      <c r="B24" t="s">
        <v>88</v>
      </c>
      <c r="C24" t="s">
        <v>28</v>
      </c>
      <c r="D24" t="s">
        <v>63</v>
      </c>
      <c r="E24" s="1" t="s">
        <v>89</v>
      </c>
      <c r="G24" t="s">
        <v>35</v>
      </c>
    </row>
    <row r="25" spans="1:7">
      <c r="A25" t="s">
        <v>90</v>
      </c>
      <c r="B25" t="s">
        <v>91</v>
      </c>
      <c r="C25" t="s">
        <v>28</v>
      </c>
      <c r="D25" t="s">
        <v>63</v>
      </c>
      <c r="E25" s="1" t="s">
        <v>92</v>
      </c>
      <c r="G25" t="s">
        <v>35</v>
      </c>
    </row>
    <row r="26" spans="1:7">
      <c r="A26" t="s">
        <v>93</v>
      </c>
      <c r="B26" t="s">
        <v>94</v>
      </c>
      <c r="C26" t="s">
        <v>62</v>
      </c>
      <c r="D26" t="s">
        <v>63</v>
      </c>
      <c r="E26" s="1" t="s">
        <v>95</v>
      </c>
      <c r="G26" t="s">
        <v>18</v>
      </c>
    </row>
    <row r="27" spans="1:7">
      <c r="A27" t="s">
        <v>96</v>
      </c>
      <c r="B27" t="s">
        <v>97</v>
      </c>
      <c r="C27" t="s">
        <v>20</v>
      </c>
      <c r="D27" t="s">
        <v>11</v>
      </c>
      <c r="E27" s="1" t="s">
        <v>98</v>
      </c>
      <c r="G27" t="s">
        <v>14</v>
      </c>
    </row>
    <row r="28" spans="1:7">
      <c r="A28" t="s">
        <v>99</v>
      </c>
      <c r="B28" t="s">
        <v>100</v>
      </c>
      <c r="C28" t="s">
        <v>43</v>
      </c>
      <c r="D28" t="s">
        <v>11</v>
      </c>
      <c r="E28" s="1" t="s">
        <v>101</v>
      </c>
      <c r="G28" t="s">
        <v>14</v>
      </c>
    </row>
    <row r="29" spans="1:7">
      <c r="A29" t="s">
        <v>102</v>
      </c>
      <c r="B29" t="s">
        <v>103</v>
      </c>
      <c r="C29" t="s">
        <v>28</v>
      </c>
      <c r="D29" t="s">
        <v>11</v>
      </c>
      <c r="E29" s="1" t="s">
        <v>104</v>
      </c>
      <c r="G29" t="s">
        <v>99</v>
      </c>
    </row>
    <row r="30" spans="1:7">
      <c r="A30" t="s">
        <v>105</v>
      </c>
      <c r="B30" t="s">
        <v>106</v>
      </c>
      <c r="C30" t="s">
        <v>43</v>
      </c>
      <c r="D30" t="s">
        <v>11</v>
      </c>
      <c r="E30" s="1" t="s">
        <v>107</v>
      </c>
      <c r="G30" t="s">
        <v>99</v>
      </c>
    </row>
    <row r="31" spans="1:7">
      <c r="A31" t="s">
        <v>108</v>
      </c>
      <c r="B31" t="s">
        <v>109</v>
      </c>
      <c r="C31" t="s">
        <v>43</v>
      </c>
      <c r="D31" t="s">
        <v>11</v>
      </c>
      <c r="E31" s="1" t="s">
        <v>110</v>
      </c>
      <c r="G31" t="s">
        <v>99</v>
      </c>
    </row>
    <row r="32" spans="1:7">
      <c r="A32" t="s">
        <v>111</v>
      </c>
      <c r="B32" t="s">
        <v>112</v>
      </c>
      <c r="C32" t="s">
        <v>28</v>
      </c>
      <c r="D32" t="s">
        <v>11</v>
      </c>
      <c r="E32" s="1" t="s">
        <v>113</v>
      </c>
      <c r="G32" t="s">
        <v>99</v>
      </c>
    </row>
    <row r="33" spans="1:7">
      <c r="A33" t="s">
        <v>114</v>
      </c>
      <c r="B33" t="s">
        <v>115</v>
      </c>
      <c r="C33" t="s">
        <v>28</v>
      </c>
      <c r="D33" t="s">
        <v>11</v>
      </c>
      <c r="E33" s="1" t="s">
        <v>116</v>
      </c>
      <c r="G33" t="s">
        <v>99</v>
      </c>
    </row>
    <row r="34" spans="1:7">
      <c r="A34" t="s">
        <v>117</v>
      </c>
      <c r="B34" t="s">
        <v>118</v>
      </c>
      <c r="C34" t="s">
        <v>62</v>
      </c>
      <c r="D34" t="s">
        <v>63</v>
      </c>
      <c r="E34" s="1" t="s">
        <v>119</v>
      </c>
      <c r="G34" t="s">
        <v>96</v>
      </c>
    </row>
    <row r="35" spans="1:7">
      <c r="A35" t="s">
        <v>120</v>
      </c>
      <c r="B35" t="s">
        <v>121</v>
      </c>
      <c r="C35" t="s">
        <v>24</v>
      </c>
      <c r="D35" t="s">
        <v>63</v>
      </c>
      <c r="E35" s="1" t="s">
        <v>122</v>
      </c>
      <c r="G35" t="s">
        <v>96</v>
      </c>
    </row>
    <row r="36" spans="1:7">
      <c r="A36" t="s">
        <v>123</v>
      </c>
      <c r="B36" t="s">
        <v>124</v>
      </c>
      <c r="C36" t="s">
        <v>62</v>
      </c>
      <c r="D36" t="s">
        <v>63</v>
      </c>
      <c r="E36" s="1" t="s">
        <v>125</v>
      </c>
      <c r="G36" t="s">
        <v>96</v>
      </c>
    </row>
    <row r="37" spans="1:7">
      <c r="A37" t="s">
        <v>126</v>
      </c>
      <c r="B37" t="s">
        <v>127</v>
      </c>
      <c r="C37" t="s">
        <v>62</v>
      </c>
      <c r="D37" t="s">
        <v>63</v>
      </c>
      <c r="E37" s="1" t="s">
        <v>128</v>
      </c>
      <c r="G37" t="s">
        <v>96</v>
      </c>
    </row>
    <row r="38" spans="1:7">
      <c r="A38" t="s">
        <v>129</v>
      </c>
      <c r="B38" t="s">
        <v>130</v>
      </c>
      <c r="C38" t="s">
        <v>28</v>
      </c>
      <c r="D38" t="s">
        <v>63</v>
      </c>
      <c r="E38" s="1" t="s">
        <v>131</v>
      </c>
      <c r="G38" t="s">
        <v>99</v>
      </c>
    </row>
    <row r="39" spans="1:7">
      <c r="A39" t="s">
        <v>132</v>
      </c>
      <c r="B39" t="s">
        <v>133</v>
      </c>
      <c r="C39" t="s">
        <v>28</v>
      </c>
      <c r="D39" t="s">
        <v>63</v>
      </c>
      <c r="E39" s="1" t="s">
        <v>134</v>
      </c>
      <c r="G39" t="s">
        <v>99</v>
      </c>
    </row>
    <row r="40" spans="1:7">
      <c r="A40" t="s">
        <v>135</v>
      </c>
      <c r="B40" t="s">
        <v>136</v>
      </c>
      <c r="C40" t="s">
        <v>28</v>
      </c>
      <c r="D40" t="s">
        <v>63</v>
      </c>
      <c r="E40" s="1" t="s">
        <v>137</v>
      </c>
      <c r="G40" t="s">
        <v>99</v>
      </c>
    </row>
    <row r="41" spans="1:7">
      <c r="A41" t="s">
        <v>138</v>
      </c>
      <c r="B41" t="s">
        <v>139</v>
      </c>
      <c r="C41" t="s">
        <v>20</v>
      </c>
      <c r="D41" t="s">
        <v>11</v>
      </c>
      <c r="E41" s="1" t="s">
        <v>140</v>
      </c>
      <c r="G41" t="s">
        <v>14</v>
      </c>
    </row>
    <row r="42" spans="1:7">
      <c r="A42" t="s">
        <v>141</v>
      </c>
      <c r="B42" t="s">
        <v>142</v>
      </c>
      <c r="C42" t="s">
        <v>33</v>
      </c>
      <c r="D42" t="s">
        <v>11</v>
      </c>
      <c r="E42" s="1" t="s">
        <v>143</v>
      </c>
      <c r="G42" t="s">
        <v>96</v>
      </c>
    </row>
    <row r="43" spans="1:7">
      <c r="A43" t="s">
        <v>144</v>
      </c>
      <c r="B43" t="s">
        <v>145</v>
      </c>
      <c r="C43" t="s">
        <v>28</v>
      </c>
      <c r="D43" t="s">
        <v>11</v>
      </c>
      <c r="E43" s="1" t="s">
        <v>146</v>
      </c>
      <c r="G43" t="s">
        <v>14</v>
      </c>
    </row>
    <row r="44" spans="1:7">
      <c r="A44" t="s">
        <v>147</v>
      </c>
      <c r="B44" t="s">
        <v>148</v>
      </c>
      <c r="C44" t="s">
        <v>43</v>
      </c>
      <c r="D44" t="s">
        <v>11</v>
      </c>
      <c r="E44" s="1" t="s">
        <v>149</v>
      </c>
      <c r="G44" t="s">
        <v>14</v>
      </c>
    </row>
    <row r="45" spans="1:7">
      <c r="A45" t="s">
        <v>150</v>
      </c>
      <c r="B45" t="s">
        <v>151</v>
      </c>
      <c r="C45" t="s">
        <v>62</v>
      </c>
      <c r="D45" t="s">
        <v>63</v>
      </c>
      <c r="E45" s="1" t="s">
        <v>152</v>
      </c>
      <c r="G45" t="s">
        <v>138</v>
      </c>
    </row>
    <row r="46" spans="1:7">
      <c r="A46" t="s">
        <v>153</v>
      </c>
      <c r="B46" t="s">
        <v>154</v>
      </c>
      <c r="C46" t="s">
        <v>62</v>
      </c>
      <c r="D46" t="s">
        <v>63</v>
      </c>
      <c r="E46" s="1" t="s">
        <v>155</v>
      </c>
      <c r="G46" t="s">
        <v>138</v>
      </c>
    </row>
    <row r="47" spans="1:7">
      <c r="A47" t="s">
        <v>156</v>
      </c>
      <c r="B47" t="s">
        <v>157</v>
      </c>
      <c r="C47" t="s">
        <v>62</v>
      </c>
      <c r="D47" t="s">
        <v>63</v>
      </c>
      <c r="E47" s="1" t="s">
        <v>158</v>
      </c>
      <c r="G47" t="s">
        <v>138</v>
      </c>
    </row>
    <row r="48" spans="1:7">
      <c r="A48" t="s">
        <v>159</v>
      </c>
      <c r="B48" t="s">
        <v>160</v>
      </c>
      <c r="C48" t="s">
        <v>62</v>
      </c>
      <c r="D48" t="s">
        <v>63</v>
      </c>
      <c r="E48" s="1" t="s">
        <v>161</v>
      </c>
      <c r="G48" t="s">
        <v>138</v>
      </c>
    </row>
    <row r="49" spans="1:7">
      <c r="A49" t="s">
        <v>162</v>
      </c>
      <c r="B49" t="s">
        <v>163</v>
      </c>
      <c r="C49" t="s">
        <v>62</v>
      </c>
      <c r="D49" t="s">
        <v>63</v>
      </c>
      <c r="E49" s="1" t="s">
        <v>164</v>
      </c>
      <c r="G49" t="s">
        <v>138</v>
      </c>
    </row>
    <row r="50" spans="1:7">
      <c r="A50" t="s">
        <v>165</v>
      </c>
      <c r="B50" t="s">
        <v>166</v>
      </c>
      <c r="C50" t="s">
        <v>62</v>
      </c>
      <c r="D50" t="s">
        <v>63</v>
      </c>
      <c r="E50" s="1" t="s">
        <v>167</v>
      </c>
      <c r="G50" t="s">
        <v>138</v>
      </c>
    </row>
    <row r="51" spans="1:7">
      <c r="A51" t="s">
        <v>168</v>
      </c>
      <c r="B51" t="s">
        <v>169</v>
      </c>
      <c r="C51" t="s">
        <v>62</v>
      </c>
      <c r="D51" t="s">
        <v>63</v>
      </c>
      <c r="E51" s="1" t="s">
        <v>170</v>
      </c>
      <c r="G51" t="s">
        <v>138</v>
      </c>
    </row>
    <row r="52" spans="1:7">
      <c r="A52" t="s">
        <v>171</v>
      </c>
      <c r="B52" t="s">
        <v>172</v>
      </c>
      <c r="C52" t="s">
        <v>28</v>
      </c>
      <c r="D52" t="s">
        <v>63</v>
      </c>
      <c r="E52" s="1" t="s">
        <v>173</v>
      </c>
      <c r="G52" t="s">
        <v>147</v>
      </c>
    </row>
    <row r="53" spans="1:7">
      <c r="A53" t="s">
        <v>174</v>
      </c>
      <c r="B53" t="s">
        <v>175</v>
      </c>
      <c r="C53" t="s">
        <v>28</v>
      </c>
      <c r="D53" t="s">
        <v>63</v>
      </c>
      <c r="E53" s="1" t="s">
        <v>176</v>
      </c>
      <c r="G53" t="s">
        <v>147</v>
      </c>
    </row>
    <row r="54" spans="1:7">
      <c r="A54" t="s">
        <v>177</v>
      </c>
      <c r="B54" t="s">
        <v>178</v>
      </c>
      <c r="C54" t="s">
        <v>28</v>
      </c>
      <c r="D54" t="s">
        <v>63</v>
      </c>
      <c r="E54" s="1" t="s">
        <v>179</v>
      </c>
      <c r="G54" t="s">
        <v>147</v>
      </c>
    </row>
    <row r="55" spans="1:7">
      <c r="A55" t="s">
        <v>180</v>
      </c>
      <c r="B55" t="s">
        <v>181</v>
      </c>
      <c r="C55" t="s">
        <v>28</v>
      </c>
      <c r="D55" t="s">
        <v>11</v>
      </c>
      <c r="E55" s="1" t="s">
        <v>182</v>
      </c>
      <c r="G55" t="s">
        <v>35</v>
      </c>
    </row>
    <row r="56" spans="1:7">
      <c r="A56" t="s">
        <v>183</v>
      </c>
      <c r="B56" t="s">
        <v>184</v>
      </c>
      <c r="C56" t="s">
        <v>62</v>
      </c>
      <c r="D56" t="s">
        <v>63</v>
      </c>
      <c r="E56" s="1" t="s">
        <v>185</v>
      </c>
      <c r="G56" t="s">
        <v>138</v>
      </c>
    </row>
    <row r="57" spans="1:7">
      <c r="A57" t="s">
        <v>186</v>
      </c>
      <c r="B57" t="s">
        <v>187</v>
      </c>
      <c r="C57" t="s">
        <v>28</v>
      </c>
      <c r="D57" t="s">
        <v>63</v>
      </c>
      <c r="E57" s="1" t="s">
        <v>188</v>
      </c>
      <c r="G57" t="s">
        <v>99</v>
      </c>
    </row>
    <row r="58" spans="1:7">
      <c r="A58" t="s">
        <v>189</v>
      </c>
      <c r="B58" t="s">
        <v>190</v>
      </c>
      <c r="C58" t="s">
        <v>62</v>
      </c>
      <c r="D58" t="s">
        <v>11</v>
      </c>
      <c r="E58" s="1" t="s">
        <v>191</v>
      </c>
      <c r="G58" t="s">
        <v>96</v>
      </c>
    </row>
    <row r="59" spans="1:7">
      <c r="A59" t="s">
        <v>192</v>
      </c>
      <c r="B59" t="s">
        <v>193</v>
      </c>
      <c r="C59" t="s">
        <v>33</v>
      </c>
      <c r="D59" t="s">
        <v>11</v>
      </c>
      <c r="E59" s="1" t="s">
        <v>194</v>
      </c>
      <c r="G59" t="s">
        <v>14</v>
      </c>
    </row>
  </sheetData>
  <autoFilter xmlns:etc="http://www.wps.cn/officeDocument/2017/etCustomData" ref="A1:H59" etc:filterBottomFollowUsedRange="0">
    <extLst/>
  </autoFilter>
  <pageMargins left="0.7" right="0.7" top="0.75" bottom="0.75" header="0.3" footer="0.3"/>
  <headerFooter/>
  <ignoredErrors>
    <ignoredError sqref="A2 A1:D1 F1:H1 G2:G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workbookViewId="0">
      <selection activeCell="D7" sqref="D7"/>
    </sheetView>
  </sheetViews>
  <sheetFormatPr defaultColWidth="9" defaultRowHeight="15.75" outlineLevelCol="5"/>
  <cols>
    <col min="1" max="1" width="12.8" customWidth="1"/>
    <col min="2" max="2" width="25.8" customWidth="1"/>
    <col min="3" max="3" width="20.8" customWidth="1"/>
    <col min="4" max="6" width="15.8" customWidth="1"/>
  </cols>
  <sheetData>
    <row r="1" spans="1:6">
      <c r="A1" t="s">
        <v>195</v>
      </c>
      <c r="B1" t="s">
        <v>196</v>
      </c>
      <c r="C1" t="s">
        <v>197</v>
      </c>
      <c r="D1" t="s">
        <v>198</v>
      </c>
      <c r="E1" t="s">
        <v>199</v>
      </c>
      <c r="F1" t="s">
        <v>200</v>
      </c>
    </row>
    <row r="2" spans="1:6">
      <c r="A2" t="s">
        <v>14</v>
      </c>
      <c r="B2" t="s">
        <v>201</v>
      </c>
      <c r="C2" t="str">
        <f>+VLOOKUP(A2,'Nhân sự'!$A:$C,3,0)</f>
        <v>Phó phòng</v>
      </c>
      <c r="F2" t="s">
        <v>202</v>
      </c>
    </row>
    <row r="3" spans="1:6">
      <c r="A3" t="s">
        <v>14</v>
      </c>
      <c r="B3" t="s">
        <v>203</v>
      </c>
      <c r="C3" t="str">
        <f>+VLOOKUP(A3,'Nhân sự'!$A:$C,3,0)</f>
        <v>Phó phòng</v>
      </c>
      <c r="F3" t="s">
        <v>202</v>
      </c>
    </row>
    <row r="4" spans="1:6">
      <c r="A4" t="s">
        <v>18</v>
      </c>
      <c r="B4" t="s">
        <v>203</v>
      </c>
      <c r="C4" t="str">
        <f>+VLOOKUP(A4,'Nhân sự'!$A:$C,3,0)</f>
        <v>PM</v>
      </c>
      <c r="F4" t="s">
        <v>202</v>
      </c>
    </row>
    <row r="5" spans="1:6">
      <c r="A5" t="s">
        <v>22</v>
      </c>
      <c r="B5" t="s">
        <v>203</v>
      </c>
      <c r="C5" t="str">
        <f>+VLOOKUP(A5,'Nhân sự'!$A:$C,3,0)</f>
        <v>QC Lead</v>
      </c>
      <c r="F5" t="s">
        <v>202</v>
      </c>
    </row>
    <row r="6" spans="1:6">
      <c r="A6" t="s">
        <v>26</v>
      </c>
      <c r="B6" t="s">
        <v>203</v>
      </c>
      <c r="C6" t="str">
        <f>+VLOOKUP(A6,'Nhân sự'!$A:$C,3,0)</f>
        <v>Dev</v>
      </c>
      <c r="F6" t="s">
        <v>202</v>
      </c>
    </row>
    <row r="7" spans="1:6">
      <c r="A7" t="s">
        <v>31</v>
      </c>
      <c r="B7" t="s">
        <v>203</v>
      </c>
      <c r="C7" t="str">
        <f>+VLOOKUP(A7,'Nhân sự'!$A:$C,3,0)</f>
        <v>BA</v>
      </c>
      <c r="F7" t="s">
        <v>202</v>
      </c>
    </row>
    <row r="8" spans="1:6">
      <c r="A8" t="s">
        <v>35</v>
      </c>
      <c r="B8" t="s">
        <v>203</v>
      </c>
      <c r="C8" t="str">
        <f>+VLOOKUP(A8,'Nhân sự'!$A:$C,3,0)</f>
        <v>Tech Lead</v>
      </c>
      <c r="F8" t="s">
        <v>202</v>
      </c>
    </row>
    <row r="9" spans="1:6">
      <c r="A9" t="s">
        <v>39</v>
      </c>
      <c r="B9" t="s">
        <v>203</v>
      </c>
      <c r="C9" t="str">
        <f>+VLOOKUP(A9,'Nhân sự'!$A:$C,3,0)</f>
        <v>Dev</v>
      </c>
      <c r="F9" t="s">
        <v>202</v>
      </c>
    </row>
    <row r="10" spans="1:6">
      <c r="A10" t="s">
        <v>30</v>
      </c>
      <c r="B10" t="s">
        <v>203</v>
      </c>
      <c r="C10" t="str">
        <f>+VLOOKUP(A10,'Nhân sự'!$A:$C,3,0)</f>
        <v>Dev Lead</v>
      </c>
      <c r="F10" t="s">
        <v>202</v>
      </c>
    </row>
    <row r="11" spans="1:6">
      <c r="A11" t="s">
        <v>45</v>
      </c>
      <c r="B11" t="s">
        <v>203</v>
      </c>
      <c r="C11" t="str">
        <f>+VLOOKUP(A11,'Nhân sự'!$A:$C,3,0)</f>
        <v>Dev Lead</v>
      </c>
      <c r="F11" t="s">
        <v>202</v>
      </c>
    </row>
    <row r="12" spans="1:6">
      <c r="A12" t="s">
        <v>48</v>
      </c>
      <c r="B12" t="s">
        <v>203</v>
      </c>
      <c r="C12" t="str">
        <f>+VLOOKUP(A12,'Nhân sự'!$A:$C,3,0)</f>
        <v>Dev</v>
      </c>
      <c r="F12" t="s">
        <v>202</v>
      </c>
    </row>
    <row r="13" spans="1:6">
      <c r="A13" t="s">
        <v>51</v>
      </c>
      <c r="B13" t="s">
        <v>203</v>
      </c>
      <c r="C13" t="str">
        <f>+VLOOKUP(A13,'Nhân sự'!$A:$C,3,0)</f>
        <v>Dev</v>
      </c>
      <c r="F13" t="s">
        <v>202</v>
      </c>
    </row>
    <row r="14" spans="1:6">
      <c r="A14" t="s">
        <v>54</v>
      </c>
      <c r="B14" t="s">
        <v>203</v>
      </c>
      <c r="C14" t="str">
        <f>+VLOOKUP(A14,'Nhân sự'!$A:$C,3,0)</f>
        <v>Dev</v>
      </c>
      <c r="F14" t="s">
        <v>202</v>
      </c>
    </row>
    <row r="15" spans="1:6">
      <c r="A15" t="s">
        <v>57</v>
      </c>
      <c r="B15" t="s">
        <v>203</v>
      </c>
      <c r="C15" t="str">
        <f>+VLOOKUP(A15,'Nhân sự'!$A:$C,3,0)</f>
        <v>BA</v>
      </c>
      <c r="F15" t="s">
        <v>202</v>
      </c>
    </row>
    <row r="16" spans="1:6">
      <c r="A16" t="s">
        <v>60</v>
      </c>
      <c r="B16" t="s">
        <v>203</v>
      </c>
      <c r="C16" t="str">
        <f>+VLOOKUP(A16,'Nhân sự'!$A:$C,3,0)</f>
        <v>Tester</v>
      </c>
      <c r="F16" t="s">
        <v>202</v>
      </c>
    </row>
    <row r="17" spans="1:6">
      <c r="A17" t="s">
        <v>65</v>
      </c>
      <c r="B17" t="s">
        <v>203</v>
      </c>
      <c r="C17" t="str">
        <f>+VLOOKUP(A17,'Nhân sự'!$A:$C,3,0)</f>
        <v>Tester</v>
      </c>
      <c r="F17" t="s">
        <v>202</v>
      </c>
    </row>
    <row r="18" spans="1:6">
      <c r="A18" t="s">
        <v>68</v>
      </c>
      <c r="B18" t="s">
        <v>203</v>
      </c>
      <c r="C18" t="str">
        <f>+VLOOKUP(A18,'Nhân sự'!$A:$C,3,0)</f>
        <v>BA Lead</v>
      </c>
      <c r="F18" t="s">
        <v>202</v>
      </c>
    </row>
    <row r="19" spans="1:6">
      <c r="A19" t="s">
        <v>72</v>
      </c>
      <c r="B19" t="s">
        <v>203</v>
      </c>
      <c r="C19" t="str">
        <f>+VLOOKUP(A19,'Nhân sự'!$A:$C,3,0)</f>
        <v>BA</v>
      </c>
      <c r="F19" t="s">
        <v>202</v>
      </c>
    </row>
    <row r="20" spans="1:6">
      <c r="A20" t="s">
        <v>75</v>
      </c>
      <c r="B20" t="s">
        <v>203</v>
      </c>
      <c r="C20" t="str">
        <f>+VLOOKUP(A20,'Nhân sự'!$A:$C,3,0)</f>
        <v>BA</v>
      </c>
      <c r="F20" t="s">
        <v>202</v>
      </c>
    </row>
    <row r="21" spans="1:6">
      <c r="A21" t="s">
        <v>78</v>
      </c>
      <c r="B21" t="s">
        <v>203</v>
      </c>
      <c r="C21" t="str">
        <f>+VLOOKUP(A21,'Nhân sự'!$A:$C,3,0)</f>
        <v>Dev</v>
      </c>
      <c r="F21" t="s">
        <v>202</v>
      </c>
    </row>
    <row r="22" spans="1:6">
      <c r="A22" t="s">
        <v>81</v>
      </c>
      <c r="B22" t="s">
        <v>203</v>
      </c>
      <c r="C22" t="str">
        <f>+VLOOKUP(A22,'Nhân sự'!$A:$C,3,0)</f>
        <v>Tester</v>
      </c>
      <c r="F22" t="s">
        <v>202</v>
      </c>
    </row>
    <row r="23" spans="1:6">
      <c r="A23" t="s">
        <v>84</v>
      </c>
      <c r="B23" t="s">
        <v>203</v>
      </c>
      <c r="C23" t="str">
        <f>+VLOOKUP(A23,'Nhân sự'!$A:$C,3,0)</f>
        <v>Dev</v>
      </c>
      <c r="F23" t="s">
        <v>202</v>
      </c>
    </row>
    <row r="24" spans="1:6">
      <c r="A24" t="s">
        <v>87</v>
      </c>
      <c r="B24" t="s">
        <v>203</v>
      </c>
      <c r="C24" t="str">
        <f>+VLOOKUP(A24,'Nhân sự'!$A:$C,3,0)</f>
        <v>Dev</v>
      </c>
      <c r="F24" t="s">
        <v>202</v>
      </c>
    </row>
    <row r="25" spans="1:6">
      <c r="A25" t="s">
        <v>90</v>
      </c>
      <c r="B25" t="s">
        <v>203</v>
      </c>
      <c r="C25" t="str">
        <f>+VLOOKUP(A25,'Nhân sự'!$A:$C,3,0)</f>
        <v>Dev</v>
      </c>
      <c r="F25" t="s">
        <v>202</v>
      </c>
    </row>
    <row r="26" spans="1:6">
      <c r="A26" t="s">
        <v>93</v>
      </c>
      <c r="B26" t="s">
        <v>203</v>
      </c>
      <c r="C26" t="str">
        <f>+VLOOKUP(A26,'Nhân sự'!$A:$C,3,0)</f>
        <v>Tester</v>
      </c>
      <c r="F26" t="s">
        <v>202</v>
      </c>
    </row>
    <row r="27" spans="1:6">
      <c r="A27" t="s">
        <v>96</v>
      </c>
      <c r="B27" t="s">
        <v>204</v>
      </c>
      <c r="C27" t="str">
        <f>+VLOOKUP(A27,'Nhân sự'!$A:$C,3,0)</f>
        <v>PM</v>
      </c>
      <c r="F27" t="s">
        <v>202</v>
      </c>
    </row>
    <row r="28" spans="1:6">
      <c r="A28" t="s">
        <v>99</v>
      </c>
      <c r="B28" t="s">
        <v>204</v>
      </c>
      <c r="C28" t="str">
        <f>+VLOOKUP(A28,'Nhân sự'!$A:$C,3,0)</f>
        <v>Dev Lead</v>
      </c>
      <c r="F28" t="s">
        <v>202</v>
      </c>
    </row>
    <row r="29" spans="1:6">
      <c r="A29" t="s">
        <v>102</v>
      </c>
      <c r="B29" t="s">
        <v>204</v>
      </c>
      <c r="C29" t="str">
        <f>+VLOOKUP(A29,'Nhân sự'!$A:$C,3,0)</f>
        <v>Dev</v>
      </c>
      <c r="F29" t="s">
        <v>202</v>
      </c>
    </row>
    <row r="30" spans="1:6">
      <c r="A30" t="s">
        <v>105</v>
      </c>
      <c r="B30" t="s">
        <v>204</v>
      </c>
      <c r="C30" t="str">
        <f>+VLOOKUP(A30,'Nhân sự'!$A:$C,3,0)</f>
        <v>Dev Lead</v>
      </c>
      <c r="F30" t="s">
        <v>202</v>
      </c>
    </row>
    <row r="31" spans="1:6">
      <c r="A31" t="s">
        <v>108</v>
      </c>
      <c r="B31" t="s">
        <v>204</v>
      </c>
      <c r="C31" t="str">
        <f>+VLOOKUP(A31,'Nhân sự'!$A:$C,3,0)</f>
        <v>Dev Lead</v>
      </c>
      <c r="F31" t="s">
        <v>202</v>
      </c>
    </row>
    <row r="32" spans="1:6">
      <c r="A32" t="s">
        <v>111</v>
      </c>
      <c r="B32" t="s">
        <v>204</v>
      </c>
      <c r="C32" t="str">
        <f>+VLOOKUP(A32,'Nhân sự'!$A:$C,3,0)</f>
        <v>Dev</v>
      </c>
      <c r="F32" t="s">
        <v>202</v>
      </c>
    </row>
    <row r="33" spans="1:6">
      <c r="A33" t="s">
        <v>114</v>
      </c>
      <c r="B33" t="s">
        <v>204</v>
      </c>
      <c r="C33" t="str">
        <f>+VLOOKUP(A33,'Nhân sự'!$A:$C,3,0)</f>
        <v>Dev</v>
      </c>
      <c r="F33" t="s">
        <v>202</v>
      </c>
    </row>
    <row r="34" spans="1:6">
      <c r="A34" t="s">
        <v>117</v>
      </c>
      <c r="B34" t="s">
        <v>204</v>
      </c>
      <c r="C34" t="str">
        <f>+VLOOKUP(A34,'Nhân sự'!$A:$C,3,0)</f>
        <v>Tester</v>
      </c>
      <c r="F34" t="s">
        <v>202</v>
      </c>
    </row>
    <row r="35" spans="1:6">
      <c r="A35" t="s">
        <v>120</v>
      </c>
      <c r="B35" t="s">
        <v>204</v>
      </c>
      <c r="C35" t="str">
        <f>+VLOOKUP(A35,'Nhân sự'!$A:$C,3,0)</f>
        <v>QC Lead</v>
      </c>
      <c r="F35" t="s">
        <v>202</v>
      </c>
    </row>
    <row r="36" spans="1:6">
      <c r="A36" t="s">
        <v>123</v>
      </c>
      <c r="B36" t="s">
        <v>204</v>
      </c>
      <c r="C36" t="str">
        <f>+VLOOKUP(A36,'Nhân sự'!$A:$C,3,0)</f>
        <v>Tester</v>
      </c>
      <c r="F36" t="s">
        <v>202</v>
      </c>
    </row>
    <row r="37" spans="1:6">
      <c r="A37" t="s">
        <v>126</v>
      </c>
      <c r="B37" t="s">
        <v>204</v>
      </c>
      <c r="C37" t="str">
        <f>+VLOOKUP(A37,'Nhân sự'!$A:$C,3,0)</f>
        <v>Tester</v>
      </c>
      <c r="F37" t="s">
        <v>202</v>
      </c>
    </row>
    <row r="38" spans="1:6">
      <c r="A38" t="s">
        <v>129</v>
      </c>
      <c r="B38" t="s">
        <v>204</v>
      </c>
      <c r="C38" t="str">
        <f>+VLOOKUP(A38,'Nhân sự'!$A:$C,3,0)</f>
        <v>Dev</v>
      </c>
      <c r="F38" t="s">
        <v>202</v>
      </c>
    </row>
    <row r="39" spans="1:6">
      <c r="A39" t="s">
        <v>132</v>
      </c>
      <c r="B39" t="s">
        <v>204</v>
      </c>
      <c r="C39" t="str">
        <f>+VLOOKUP(A39,'Nhân sự'!$A:$C,3,0)</f>
        <v>Dev</v>
      </c>
      <c r="F39" t="s">
        <v>202</v>
      </c>
    </row>
    <row r="40" spans="1:6">
      <c r="A40" t="s">
        <v>135</v>
      </c>
      <c r="B40" t="s">
        <v>204</v>
      </c>
      <c r="C40" t="str">
        <f>+VLOOKUP(A40,'Nhân sự'!$A:$C,3,0)</f>
        <v>Dev</v>
      </c>
      <c r="F40" t="s">
        <v>202</v>
      </c>
    </row>
    <row r="41" spans="1:6">
      <c r="A41" t="s">
        <v>138</v>
      </c>
      <c r="B41" t="s">
        <v>201</v>
      </c>
      <c r="C41" t="str">
        <f>+VLOOKUP(A41,'Nhân sự'!$A:$C,3,0)</f>
        <v>PM</v>
      </c>
      <c r="F41" t="s">
        <v>202</v>
      </c>
    </row>
    <row r="42" spans="1:6">
      <c r="A42" t="s">
        <v>141</v>
      </c>
      <c r="B42" t="s">
        <v>201</v>
      </c>
      <c r="C42" t="str">
        <f>+VLOOKUP(A42,'Nhân sự'!$A:$C,3,0)</f>
        <v>BA</v>
      </c>
      <c r="F42" t="s">
        <v>202</v>
      </c>
    </row>
    <row r="43" spans="1:6">
      <c r="A43" t="s">
        <v>144</v>
      </c>
      <c r="B43" t="s">
        <v>201</v>
      </c>
      <c r="C43" t="str">
        <f>+VLOOKUP(A43,'Nhân sự'!$A:$C,3,0)</f>
        <v>Dev</v>
      </c>
      <c r="F43" t="s">
        <v>202</v>
      </c>
    </row>
    <row r="44" spans="1:6">
      <c r="A44" t="s">
        <v>147</v>
      </c>
      <c r="B44" t="s">
        <v>201</v>
      </c>
      <c r="C44" t="str">
        <f>+VLOOKUP(A44,'Nhân sự'!$A:$C,3,0)</f>
        <v>Dev Lead</v>
      </c>
      <c r="F44" t="s">
        <v>202</v>
      </c>
    </row>
    <row r="45" spans="1:6">
      <c r="A45" t="s">
        <v>150</v>
      </c>
      <c r="B45" t="s">
        <v>201</v>
      </c>
      <c r="C45" t="str">
        <f>+VLOOKUP(A45,'Nhân sự'!$A:$C,3,0)</f>
        <v>Tester</v>
      </c>
      <c r="F45" t="s">
        <v>202</v>
      </c>
    </row>
    <row r="46" spans="1:6">
      <c r="A46" t="s">
        <v>153</v>
      </c>
      <c r="B46" t="s">
        <v>201</v>
      </c>
      <c r="C46" t="str">
        <f>+VLOOKUP(A46,'Nhân sự'!$A:$C,3,0)</f>
        <v>Tester</v>
      </c>
      <c r="F46" t="s">
        <v>202</v>
      </c>
    </row>
    <row r="47" spans="1:6">
      <c r="A47" t="s">
        <v>156</v>
      </c>
      <c r="B47" t="s">
        <v>201</v>
      </c>
      <c r="C47" t="str">
        <f>+VLOOKUP(A47,'Nhân sự'!$A:$C,3,0)</f>
        <v>Tester</v>
      </c>
      <c r="F47" t="s">
        <v>202</v>
      </c>
    </row>
    <row r="48" spans="1:6">
      <c r="A48" t="s">
        <v>159</v>
      </c>
      <c r="B48" t="s">
        <v>201</v>
      </c>
      <c r="C48" t="str">
        <f>+VLOOKUP(A48,'Nhân sự'!$A:$C,3,0)</f>
        <v>Tester</v>
      </c>
      <c r="F48" t="s">
        <v>202</v>
      </c>
    </row>
    <row r="49" spans="1:6">
      <c r="A49" t="s">
        <v>162</v>
      </c>
      <c r="B49" t="s">
        <v>201</v>
      </c>
      <c r="C49" t="str">
        <f>+VLOOKUP(A49,'Nhân sự'!$A:$C,3,0)</f>
        <v>Tester</v>
      </c>
      <c r="F49" t="s">
        <v>202</v>
      </c>
    </row>
    <row r="50" spans="1:6">
      <c r="A50" t="s">
        <v>165</v>
      </c>
      <c r="B50" t="s">
        <v>201</v>
      </c>
      <c r="C50" t="str">
        <f>+VLOOKUP(A50,'Nhân sự'!$A:$C,3,0)</f>
        <v>Tester</v>
      </c>
      <c r="F50" t="s">
        <v>202</v>
      </c>
    </row>
    <row r="51" spans="1:6">
      <c r="A51" t="s">
        <v>168</v>
      </c>
      <c r="B51" t="s">
        <v>201</v>
      </c>
      <c r="C51" t="str">
        <f>+VLOOKUP(A51,'Nhân sự'!$A:$C,3,0)</f>
        <v>Tester</v>
      </c>
      <c r="F51" t="s">
        <v>202</v>
      </c>
    </row>
    <row r="52" spans="1:6">
      <c r="A52" t="s">
        <v>171</v>
      </c>
      <c r="B52" t="s">
        <v>201</v>
      </c>
      <c r="C52" t="str">
        <f>+VLOOKUP(A52,'Nhân sự'!$A:$C,3,0)</f>
        <v>Dev</v>
      </c>
      <c r="F52" t="s">
        <v>202</v>
      </c>
    </row>
    <row r="53" spans="1:6">
      <c r="A53" t="s">
        <v>174</v>
      </c>
      <c r="B53" t="s">
        <v>201</v>
      </c>
      <c r="C53" t="str">
        <f>+VLOOKUP(A53,'Nhân sự'!$A:$C,3,0)</f>
        <v>Dev</v>
      </c>
      <c r="F53" t="s">
        <v>202</v>
      </c>
    </row>
    <row r="54" spans="1:6">
      <c r="A54" t="s">
        <v>177</v>
      </c>
      <c r="B54" t="s">
        <v>201</v>
      </c>
      <c r="C54" t="str">
        <f>+VLOOKUP(A54,'Nhân sự'!$A:$C,3,0)</f>
        <v>Dev</v>
      </c>
      <c r="F54" t="s">
        <v>202</v>
      </c>
    </row>
    <row r="55" spans="1:6">
      <c r="A55" t="s">
        <v>180</v>
      </c>
      <c r="B55" t="s">
        <v>205</v>
      </c>
      <c r="C55" t="str">
        <f>+VLOOKUP(A55,'Nhân sự'!$A:$C,3,0)</f>
        <v>Dev</v>
      </c>
      <c r="F55" t="s">
        <v>202</v>
      </c>
    </row>
    <row r="56" spans="1:6">
      <c r="A56" t="s">
        <v>183</v>
      </c>
      <c r="B56" t="s">
        <v>206</v>
      </c>
      <c r="C56" t="str">
        <f>+VLOOKUP(A56,'Nhân sự'!$A:$C,3,0)</f>
        <v>Tester</v>
      </c>
      <c r="F56" t="s">
        <v>202</v>
      </c>
    </row>
    <row r="57" spans="1:6">
      <c r="A57" t="s">
        <v>186</v>
      </c>
      <c r="B57" t="s">
        <v>206</v>
      </c>
      <c r="C57" t="str">
        <f>+VLOOKUP(A57,'Nhân sự'!$A:$C,3,0)</f>
        <v>Dev</v>
      </c>
      <c r="F57" t="s">
        <v>202</v>
      </c>
    </row>
    <row r="58" spans="1:6">
      <c r="A58" t="s">
        <v>14</v>
      </c>
      <c r="B58" t="s">
        <v>206</v>
      </c>
      <c r="C58" t="str">
        <f>+VLOOKUP(A58,'Nhân sự'!$A:$C,3,0)</f>
        <v>Phó phòng</v>
      </c>
      <c r="F58" t="s">
        <v>202</v>
      </c>
    </row>
    <row r="59" spans="1:6">
      <c r="A59" t="s">
        <v>192</v>
      </c>
      <c r="B59" t="s">
        <v>207</v>
      </c>
      <c r="C59" t="str">
        <f>+VLOOKUP(A59,'Nhân sự'!$A:$C,3,0)</f>
        <v>BA</v>
      </c>
      <c r="F59" t="s">
        <v>202</v>
      </c>
    </row>
    <row r="60" customFormat="1" spans="1:6">
      <c r="A60" t="s">
        <v>14</v>
      </c>
      <c r="B60" t="s">
        <v>204</v>
      </c>
      <c r="C60" t="str">
        <f>+VLOOKUP(A60,'Nhân sự'!$A:$C,3,0)</f>
        <v>Phó phòng</v>
      </c>
      <c r="F60" t="s">
        <v>202</v>
      </c>
    </row>
  </sheetData>
  <pageMargins left="0.7" right="0.7" top="0.75" bottom="0.75" header="0.3" footer="0.3"/>
  <headerFooter/>
  <ignoredErrors>
    <ignoredError sqref="A1:F1 F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Nhân sự</vt:lpstr>
      <vt:lpstr>Dự án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2026-03-01T12:55:00Z</dcterms:created>
  <dcterms:modified xsi:type="dcterms:W3CDTF">2026-03-01T13:02:26Z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D24DC48528FA4933BA2121618656ECC6_12</vt:lpwstr>
  </property>
  <property fmtid="{D5CDD505-2E9C-101B-9397-08002B2CF9AE}" pid="3" name="KSOProductBuildVer">
    <vt:lpwstr>1033-12.2.0.23197</vt:lpwstr>
  </property>
</Properties>
</file>